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収支計画書" sheetId="1" state="visible" r:id="rId1"/>
    <sheet xmlns:r="http://schemas.openxmlformats.org/officeDocument/2006/relationships" name="シナリオ比較" sheetId="2" state="visible" r:id="rId2"/>
    <sheet xmlns:r="http://schemas.openxmlformats.org/officeDocument/2006/relationships" name="前提と注意"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BIZ UDPGothic"/>
      <b val="1"/>
      <color rgb="00FFFFFF"/>
      <sz val="16"/>
    </font>
    <font>
      <name val="BIZ UDPGothic"/>
      <color rgb="005A6472"/>
      <sz val="9"/>
    </font>
    <font>
      <name val="BIZ UDPGothic"/>
      <b val="1"/>
      <color rgb="001B222C"/>
      <sz val="9"/>
    </font>
    <font>
      <name val="BIZ UDPGothic"/>
      <color rgb="001B222C"/>
      <sz val="10"/>
    </font>
    <font>
      <name val="BIZ UDPGothic"/>
      <b val="1"/>
      <color rgb="00FFFFFF"/>
      <sz val="11"/>
    </font>
    <font>
      <name val="BIZ UDPGothic"/>
      <b val="1"/>
      <color rgb="0017375E"/>
      <sz val="9"/>
    </font>
    <font>
      <name val="BIZ UDPGothic"/>
      <color rgb="001B222C"/>
      <sz val="9"/>
    </font>
    <font>
      <name val="BIZ UDPGothic"/>
      <b val="1"/>
      <color rgb="001B222C"/>
      <sz val="10"/>
    </font>
    <font>
      <name val="BIZ UDPGothic"/>
      <b val="1"/>
      <color rgb="0017375E"/>
      <sz val="10"/>
    </font>
    <font>
      <name val="BIZ UDPGothic"/>
      <b val="1"/>
      <color rgb="00FFFFFF"/>
      <sz val="12"/>
    </font>
    <font>
      <name val="BIZ UDPGothic"/>
      <color rgb="00C02A1E"/>
      <sz val="9"/>
    </font>
    <font>
      <name val="BIZ UDPGothic"/>
      <b val="1"/>
      <color rgb="00FFFFFF"/>
      <sz val="14"/>
    </font>
    <font>
      <name val="BIZ UDPGothic"/>
      <b val="1"/>
      <color rgb="00FFFFFF"/>
      <sz val="10"/>
    </font>
    <font>
      <name val="BIZ UDPGothic"/>
      <b val="1"/>
      <color rgb="0017375E"/>
      <sz val="11"/>
    </font>
  </fonts>
  <fills count="6">
    <fill>
      <patternFill/>
    </fill>
    <fill>
      <patternFill patternType="gray125"/>
    </fill>
    <fill>
      <patternFill patternType="solid">
        <fgColor rgb="0017375E"/>
      </patternFill>
    </fill>
    <fill>
      <patternFill patternType="solid">
        <fgColor rgb="00F3F5F7"/>
      </patternFill>
    </fill>
    <fill>
      <patternFill patternType="solid">
        <fgColor rgb="00FFF6DC"/>
      </patternFill>
    </fill>
    <fill>
      <patternFill patternType="solid">
        <fgColor rgb="00F5A623"/>
      </patternFill>
    </fill>
  </fills>
  <borders count="6">
    <border>
      <left/>
      <right/>
      <top/>
      <bottom/>
      <diagonal/>
    </border>
    <border>
      <left style="thin">
        <color rgb="00D8DEE6"/>
      </left>
      <right style="thin">
        <color rgb="00D8DEE6"/>
      </right>
      <top style="thin">
        <color rgb="00D8DEE6"/>
      </top>
      <bottom style="thin">
        <color rgb="00D8DEE6"/>
      </bottom>
    </border>
    <border>
      <left/>
      <right/>
      <top style="thin">
        <color rgb="00D8DEE6"/>
      </top>
      <bottom/>
      <diagonal/>
    </border>
    <border>
      <left/>
      <right style="thin">
        <color rgb="00D8DEE6"/>
      </right>
      <top style="thin">
        <color rgb="00D8DEE6"/>
      </top>
      <bottom/>
      <diagonal/>
    </border>
    <border>
      <left/>
      <right/>
      <top style="thin">
        <color rgb="00D8DEE6"/>
      </top>
      <bottom style="thin">
        <color rgb="00D8DEE6"/>
      </bottom>
      <diagonal/>
    </border>
    <border>
      <left/>
      <right style="thin">
        <color rgb="00D8DEE6"/>
      </right>
      <top style="thin">
        <color rgb="00D8DEE6"/>
      </top>
      <bottom style="thin">
        <color rgb="00D8DEE6"/>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vertical="center"/>
    </xf>
    <xf numFmtId="0" fontId="5" fillId="2" borderId="1" applyAlignment="1" pivotButton="0" quotePrefix="0" xfId="0">
      <alignment horizontal="left" vertical="center"/>
    </xf>
    <xf numFmtId="0" fontId="6" fillId="3" borderId="1" applyAlignment="1" pivotButton="0" quotePrefix="0" xfId="0">
      <alignment horizontal="center" vertical="center"/>
    </xf>
    <xf numFmtId="0" fontId="6" fillId="3" borderId="1" applyAlignment="1" pivotButton="0" quotePrefix="0" xfId="0">
      <alignment vertical="center"/>
    </xf>
    <xf numFmtId="0" fontId="4" fillId="0" borderId="1" applyAlignment="1" pivotButton="0" quotePrefix="0" xfId="0">
      <alignment vertical="center"/>
    </xf>
    <xf numFmtId="3" fontId="4" fillId="4" borderId="1" applyAlignment="1" pivotButton="0" quotePrefix="0" xfId="0">
      <alignment horizontal="right" vertical="center"/>
    </xf>
    <xf numFmtId="3" fontId="4" fillId="0" borderId="1" applyAlignment="1" pivotButton="0" quotePrefix="0" xfId="0">
      <alignment horizontal="right" vertical="center"/>
    </xf>
    <xf numFmtId="0" fontId="7" fillId="0" borderId="1" applyAlignment="1" pivotButton="0" quotePrefix="0" xfId="0">
      <alignment horizontal="center" vertical="center"/>
    </xf>
    <xf numFmtId="0" fontId="2" fillId="0" borderId="1" applyAlignment="1" pivotButton="0" quotePrefix="0" xfId="0">
      <alignment vertical="center"/>
    </xf>
    <xf numFmtId="3" fontId="8" fillId="0" borderId="1" applyAlignment="1" pivotButton="0" quotePrefix="0" xfId="0">
      <alignment horizontal="right" vertical="center"/>
    </xf>
    <xf numFmtId="0" fontId="5" fillId="2" borderId="1" applyAlignment="1" pivotButton="0" quotePrefix="0" xfId="0">
      <alignment horizontal="right" vertical="center"/>
    </xf>
    <xf numFmtId="3" fontId="5" fillId="2" borderId="1" applyAlignment="1" pivotButton="0" quotePrefix="0" xfId="0">
      <alignment horizontal="right" vertical="center"/>
    </xf>
    <xf numFmtId="0" fontId="4" fillId="2" borderId="1" applyAlignment="1" pivotButton="0" quotePrefix="0" xfId="0">
      <alignment vertical="center"/>
    </xf>
    <xf numFmtId="0" fontId="9" fillId="3" borderId="1" applyAlignment="1" pivotButton="0" quotePrefix="0" xfId="0">
      <alignment horizontal="right" vertical="center"/>
    </xf>
    <xf numFmtId="3" fontId="9" fillId="3" borderId="1" applyAlignment="1" pivotButton="0" quotePrefix="0" xfId="0">
      <alignment horizontal="right" vertical="center"/>
    </xf>
    <xf numFmtId="0" fontId="4" fillId="3" borderId="1" applyAlignment="1" pivotButton="0" quotePrefix="0" xfId="0">
      <alignment vertical="center"/>
    </xf>
    <xf numFmtId="0" fontId="7" fillId="0" borderId="1" applyAlignment="1" pivotButton="0" quotePrefix="0" xfId="0">
      <alignment vertical="center"/>
    </xf>
    <xf numFmtId="0" fontId="8" fillId="0" borderId="1" applyAlignment="1" pivotButton="0" quotePrefix="0" xfId="0">
      <alignment vertical="center"/>
    </xf>
    <xf numFmtId="0" fontId="0" fillId="0" borderId="1" pivotButton="0" quotePrefix="0" xfId="0"/>
    <xf numFmtId="0" fontId="5" fillId="5" borderId="1" applyAlignment="1" pivotButton="0" quotePrefix="0" xfId="0">
      <alignment vertical="center"/>
    </xf>
    <xf numFmtId="0" fontId="0" fillId="5" borderId="1" pivotButton="0" quotePrefix="0" xfId="0"/>
    <xf numFmtId="3" fontId="10" fillId="5" borderId="1" applyAlignment="1" pivotButton="0" quotePrefix="0" xfId="0">
      <alignment horizontal="right" vertical="center"/>
    </xf>
    <xf numFmtId="0" fontId="0" fillId="0" borderId="4" pivotButton="0" quotePrefix="0" xfId="0"/>
    <xf numFmtId="0" fontId="0" fillId="0" borderId="5" pivotButton="0" quotePrefix="0" xfId="0"/>
    <xf numFmtId="0" fontId="11" fillId="3" borderId="1" applyAlignment="1" pivotButton="0" quotePrefix="0" xfId="0">
      <alignment vertical="center"/>
    </xf>
    <xf numFmtId="0" fontId="12" fillId="2" borderId="1" applyAlignment="1" pivotButton="0" quotePrefix="0" xfId="0">
      <alignment horizontal="center" vertical="center"/>
    </xf>
    <xf numFmtId="0" fontId="4" fillId="5" borderId="1" applyAlignment="1" pivotButton="0" quotePrefix="0" xfId="0">
      <alignment vertical="center"/>
    </xf>
    <xf numFmtId="0" fontId="13" fillId="5" borderId="1" applyAlignment="1" pivotButton="0" quotePrefix="0" xfId="0">
      <alignment horizontal="center" vertical="center"/>
    </xf>
    <xf numFmtId="0" fontId="14" fillId="3" borderId="1" applyAlignment="1" pivotButton="0" quotePrefix="0" xfId="0">
      <alignment vertical="center"/>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2" customWidth="1" min="3" max="3"/>
    <col width="10" customWidth="1" min="4" max="4"/>
    <col width="8" customWidth="1" min="5" max="5"/>
    <col width="14" customWidth="1" min="6" max="6"/>
    <col width="34" customWidth="1" min="7" max="7"/>
  </cols>
  <sheetData>
    <row r="1" ht="32" customHeight="1">
      <c r="A1" s="1" t="inlineStr">
        <is>
          <t>認定ペット防災アドバイザー　活動収支計画書</t>
        </is>
      </c>
    </row>
    <row r="2">
      <c r="A2" s="2" t="inlineStr">
        <is>
          <t>一般社団法人 ペット防災アドバイザー協会　／　黄色のセルに数字を入れ替えると自動で再計算されます（金額はすべて仮置き）</t>
        </is>
      </c>
    </row>
    <row r="3">
      <c r="A3" s="3" t="inlineStr">
        <is>
          <t>氏名</t>
        </is>
      </c>
      <c r="B3" s="4" t="inlineStr"/>
      <c r="C3" s="3" t="inlineStr">
        <is>
          <t>作成日</t>
        </is>
      </c>
      <c r="D3" s="4" t="inlineStr"/>
      <c r="F3" s="3" t="inlineStr">
        <is>
          <t>対象年度</t>
        </is>
      </c>
      <c r="G3" s="4" t="inlineStr"/>
    </row>
    <row r="5" ht="22" customHeight="1">
      <c r="A5" s="5" t="inlineStr">
        <is>
          <t>１．前提条件（ここだけ入力してください）</t>
        </is>
      </c>
    </row>
    <row r="6">
      <c r="A6" s="6" t="inlineStr">
        <is>
          <t>区分</t>
        </is>
      </c>
      <c r="B6" s="6" t="inlineStr">
        <is>
          <t>項目</t>
        </is>
      </c>
      <c r="C6" s="6" t="inlineStr">
        <is>
          <t>単価（円）</t>
        </is>
      </c>
      <c r="D6" s="6" t="inlineStr">
        <is>
          <t>数量</t>
        </is>
      </c>
      <c r="E6" s="6" t="inlineStr">
        <is>
          <t>単位</t>
        </is>
      </c>
      <c r="F6" s="6" t="inlineStr"/>
      <c r="G6" s="6" t="inlineStr">
        <is>
          <t>メモ</t>
        </is>
      </c>
    </row>
    <row r="7">
      <c r="A7" s="7" t="inlineStr">
        <is>
          <t>セミナー</t>
        </is>
      </c>
      <c r="B7" s="8" t="inlineStr">
        <is>
          <t>参加費（1人あたり）</t>
        </is>
      </c>
      <c r="C7" s="9" t="n">
        <v>2000</v>
      </c>
      <c r="D7" s="10" t="n"/>
      <c r="E7" s="11" t="inlineStr">
        <is>
          <t>円</t>
        </is>
      </c>
      <c r="F7" s="8" t="inlineStr"/>
      <c r="G7" s="12" t="inlineStr">
        <is>
          <t>地域相場に合わせて設定</t>
        </is>
      </c>
    </row>
    <row r="8">
      <c r="A8" s="7" t="inlineStr">
        <is>
          <t>セミナー</t>
        </is>
      </c>
      <c r="B8" s="8" t="inlineStr">
        <is>
          <t>年間の開催回数</t>
        </is>
      </c>
      <c r="C8" s="10" t="n"/>
      <c r="D8" s="9" t="n">
        <v>12</v>
      </c>
      <c r="E8" s="11" t="inlineStr">
        <is>
          <t>回</t>
        </is>
      </c>
      <c r="F8" s="8" t="inlineStr"/>
      <c r="G8" s="12" t="inlineStr">
        <is>
          <t>月1回のペース</t>
        </is>
      </c>
    </row>
    <row r="9">
      <c r="A9" s="7" t="inlineStr">
        <is>
          <t>セミナー</t>
        </is>
      </c>
      <c r="B9" s="8" t="inlineStr">
        <is>
          <t>1回あたりの参加者数</t>
        </is>
      </c>
      <c r="C9" s="10" t="n"/>
      <c r="D9" s="9" t="n">
        <v>10</v>
      </c>
      <c r="E9" s="11" t="inlineStr">
        <is>
          <t>人</t>
        </is>
      </c>
      <c r="F9" s="8" t="inlineStr"/>
      <c r="G9" s="12" t="inlineStr">
        <is>
          <t>公民館の小規模開催を想定</t>
        </is>
      </c>
    </row>
    <row r="10">
      <c r="A10" s="7" t="inlineStr">
        <is>
          <t>個別相談</t>
        </is>
      </c>
      <c r="B10" s="8" t="inlineStr">
        <is>
          <t>相談料（1件あたり）</t>
        </is>
      </c>
      <c r="C10" s="9" t="n">
        <v>5000</v>
      </c>
      <c r="D10" s="10" t="n"/>
      <c r="E10" s="11" t="inlineStr">
        <is>
          <t>円</t>
        </is>
      </c>
      <c r="F10" s="8" t="inlineStr"/>
      <c r="G10" s="12" t="inlineStr">
        <is>
          <t>60分程度の想定</t>
        </is>
      </c>
    </row>
    <row r="11">
      <c r="A11" s="7" t="inlineStr">
        <is>
          <t>個別相談</t>
        </is>
      </c>
      <c r="B11" s="8" t="inlineStr">
        <is>
          <t>年間の相談件数</t>
        </is>
      </c>
      <c r="C11" s="10" t="n"/>
      <c r="D11" s="9" t="n">
        <v>24</v>
      </c>
      <c r="E11" s="11" t="inlineStr">
        <is>
          <t>件</t>
        </is>
      </c>
      <c r="F11" s="8" t="inlineStr"/>
      <c r="G11" s="12" t="inlineStr">
        <is>
          <t>月2件のペース</t>
        </is>
      </c>
    </row>
    <row r="12">
      <c r="A12" s="7" t="inlineStr">
        <is>
          <t>講師派遣</t>
        </is>
      </c>
      <c r="B12" s="8" t="inlineStr">
        <is>
          <t>謝金（1回あたり）</t>
        </is>
      </c>
      <c r="C12" s="9" t="n">
        <v>30000</v>
      </c>
      <c r="D12" s="10" t="n"/>
      <c r="E12" s="11" t="inlineStr">
        <is>
          <t>円</t>
        </is>
      </c>
      <c r="F12" s="8" t="inlineStr"/>
      <c r="G12" s="12" t="inlineStr">
        <is>
          <t>自治体・企業からの依頼</t>
        </is>
      </c>
    </row>
    <row r="13">
      <c r="A13" s="7" t="inlineStr">
        <is>
          <t>講師派遣</t>
        </is>
      </c>
      <c r="B13" s="8" t="inlineStr">
        <is>
          <t>年間の依頼回数</t>
        </is>
      </c>
      <c r="C13" s="10" t="n"/>
      <c r="D13" s="9" t="n">
        <v>4</v>
      </c>
      <c r="E13" s="11" t="inlineStr">
        <is>
          <t>回</t>
        </is>
      </c>
      <c r="F13" s="8" t="inlineStr"/>
      <c r="G13" s="12" t="inlineStr">
        <is>
          <t>協会の紹介経由を含む</t>
        </is>
      </c>
    </row>
    <row r="15" ht="22" customHeight="1">
      <c r="A15" s="5" t="inlineStr">
        <is>
          <t>２．収入の部（年間）</t>
        </is>
      </c>
    </row>
    <row r="16">
      <c r="A16" s="6" t="inlineStr">
        <is>
          <t>区分</t>
        </is>
      </c>
      <c r="B16" s="6" t="inlineStr">
        <is>
          <t>項目</t>
        </is>
      </c>
      <c r="C16" s="6" t="inlineStr">
        <is>
          <t>単価（円）</t>
        </is>
      </c>
      <c r="D16" s="6" t="inlineStr">
        <is>
          <t>数量</t>
        </is>
      </c>
      <c r="E16" s="6" t="inlineStr">
        <is>
          <t>単位</t>
        </is>
      </c>
      <c r="F16" s="6" t="inlineStr">
        <is>
          <t>金額（円）</t>
        </is>
      </c>
      <c r="G16" s="6" t="inlineStr">
        <is>
          <t>計算式</t>
        </is>
      </c>
    </row>
    <row r="17">
      <c r="A17" s="7" t="inlineStr">
        <is>
          <t>セミナー</t>
        </is>
      </c>
      <c r="B17" s="8" t="inlineStr">
        <is>
          <t>参加費収入</t>
        </is>
      </c>
      <c r="C17" s="10">
        <f>C7</f>
        <v/>
      </c>
      <c r="D17" s="10">
        <f>D8*D9</f>
        <v/>
      </c>
      <c r="E17" s="11" t="inlineStr">
        <is>
          <t>人回</t>
        </is>
      </c>
      <c r="F17" s="13">
        <f>C17*D17</f>
        <v/>
      </c>
      <c r="G17" s="12" t="inlineStr">
        <is>
          <t>参加費 × 開催回数 × 参加者数</t>
        </is>
      </c>
    </row>
    <row r="18">
      <c r="A18" s="7" t="inlineStr">
        <is>
          <t>個別相談</t>
        </is>
      </c>
      <c r="B18" s="8" t="inlineStr">
        <is>
          <t>相談料収入</t>
        </is>
      </c>
      <c r="C18" s="10">
        <f>C10</f>
        <v/>
      </c>
      <c r="D18" s="10">
        <f>D11</f>
        <v/>
      </c>
      <c r="E18" s="11" t="inlineStr">
        <is>
          <t>件</t>
        </is>
      </c>
      <c r="F18" s="13">
        <f>C18*D18</f>
        <v/>
      </c>
      <c r="G18" s="12" t="inlineStr">
        <is>
          <t>相談料 × 件数</t>
        </is>
      </c>
    </row>
    <row r="19">
      <c r="A19" s="7" t="inlineStr">
        <is>
          <t>講師派遣</t>
        </is>
      </c>
      <c r="B19" s="8" t="inlineStr">
        <is>
          <t>謝金収入</t>
        </is>
      </c>
      <c r="C19" s="10">
        <f>C12</f>
        <v/>
      </c>
      <c r="D19" s="10">
        <f>D13</f>
        <v/>
      </c>
      <c r="E19" s="11" t="inlineStr">
        <is>
          <t>回</t>
        </is>
      </c>
      <c r="F19" s="13">
        <f>C19*D19</f>
        <v/>
      </c>
      <c r="G19" s="12" t="inlineStr">
        <is>
          <t>謝金 × 依頼回数</t>
        </is>
      </c>
    </row>
    <row r="20">
      <c r="A20" s="14" t="inlineStr">
        <is>
          <t>収入合計</t>
        </is>
      </c>
      <c r="F20" s="15">
        <f>SUM(F17:F19)</f>
        <v/>
      </c>
      <c r="G20" s="16" t="inlineStr"/>
    </row>
    <row r="22" ht="22" customHeight="1">
      <c r="A22" s="5" t="inlineStr">
        <is>
          <t>３．支出の部　初期費用（初年度のみ）</t>
        </is>
      </c>
    </row>
    <row r="23">
      <c r="A23" s="6" t="inlineStr">
        <is>
          <t>区分</t>
        </is>
      </c>
      <c r="B23" s="6" t="inlineStr">
        <is>
          <t>項目</t>
        </is>
      </c>
      <c r="C23" s="6" t="inlineStr">
        <is>
          <t>単価（円）</t>
        </is>
      </c>
      <c r="D23" s="6" t="inlineStr">
        <is>
          <t>数量</t>
        </is>
      </c>
      <c r="E23" s="6" t="inlineStr">
        <is>
          <t>単位</t>
        </is>
      </c>
      <c r="F23" s="6" t="inlineStr">
        <is>
          <t>金額（円）</t>
        </is>
      </c>
      <c r="G23" s="6" t="inlineStr">
        <is>
          <t>メモ</t>
        </is>
      </c>
    </row>
    <row r="24">
      <c r="A24" s="7" t="inlineStr">
        <is>
          <t>装備</t>
        </is>
      </c>
      <c r="B24" s="8" t="inlineStr">
        <is>
          <t>専用ベスト（ロゴ入り）</t>
        </is>
      </c>
      <c r="C24" s="9" t="n">
        <v>6000</v>
      </c>
      <c r="D24" s="9" t="n">
        <v>1</v>
      </c>
      <c r="E24" s="11" t="inlineStr">
        <is>
          <t>着</t>
        </is>
      </c>
      <c r="F24" s="10">
        <f>C24*D24</f>
        <v/>
      </c>
      <c r="G24" s="12" t="inlineStr">
        <is>
          <t>協会オプション物品</t>
        </is>
      </c>
    </row>
    <row r="25">
      <c r="A25" s="7" t="inlineStr">
        <is>
          <t>装備</t>
        </is>
      </c>
      <c r="B25" s="8" t="inlineStr">
        <is>
          <t>帽子（ロゴ入り）</t>
        </is>
      </c>
      <c r="C25" s="9" t="n">
        <v>3000</v>
      </c>
      <c r="D25" s="9" t="n">
        <v>1</v>
      </c>
      <c r="E25" s="11" t="inlineStr">
        <is>
          <t>個</t>
        </is>
      </c>
      <c r="F25" s="10">
        <f>C25*D25</f>
        <v/>
      </c>
      <c r="G25" s="12" t="inlineStr">
        <is>
          <t>協会オプション物品</t>
        </is>
      </c>
    </row>
    <row r="26">
      <c r="A26" s="7" t="inlineStr">
        <is>
          <t>装備</t>
        </is>
      </c>
      <c r="B26" s="8" t="inlineStr">
        <is>
          <t>腕章（ロゴ入り）</t>
        </is>
      </c>
      <c r="C26" s="9" t="n">
        <v>2000</v>
      </c>
      <c r="D26" s="9" t="n">
        <v>1</v>
      </c>
      <c r="E26" s="11" t="inlineStr">
        <is>
          <t>個</t>
        </is>
      </c>
      <c r="F26" s="10">
        <f>C26*D26</f>
        <v/>
      </c>
      <c r="G26" s="12" t="inlineStr">
        <is>
          <t>協会オプション物品</t>
        </is>
      </c>
    </row>
    <row r="27">
      <c r="A27" s="7" t="inlineStr">
        <is>
          <t>広報</t>
        </is>
      </c>
      <c r="B27" s="8" t="inlineStr">
        <is>
          <t>名刺作成</t>
        </is>
      </c>
      <c r="C27" s="9" t="n">
        <v>3000</v>
      </c>
      <c r="D27" s="9" t="n">
        <v>1</v>
      </c>
      <c r="E27" s="11" t="inlineStr">
        <is>
          <t>式</t>
        </is>
      </c>
      <c r="F27" s="10">
        <f>C27*D27</f>
        <v/>
      </c>
      <c r="G27" s="12" t="inlineStr">
        <is>
          <t>100枚程度</t>
        </is>
      </c>
    </row>
    <row r="28">
      <c r="A28" s="7" t="inlineStr">
        <is>
          <t>広報</t>
        </is>
      </c>
      <c r="B28" s="8" t="inlineStr">
        <is>
          <t>のぼり・バナー</t>
        </is>
      </c>
      <c r="C28" s="9" t="n">
        <v>8000</v>
      </c>
      <c r="D28" s="9" t="n">
        <v>1</v>
      </c>
      <c r="E28" s="11" t="inlineStr">
        <is>
          <t>式</t>
        </is>
      </c>
      <c r="F28" s="10">
        <f>C28*D28</f>
        <v/>
      </c>
      <c r="G28" s="12" t="inlineStr">
        <is>
          <t>イベント出展用</t>
        </is>
      </c>
    </row>
    <row r="29">
      <c r="A29" s="7" t="inlineStr">
        <is>
          <t>機材</t>
        </is>
      </c>
      <c r="B29" s="8" t="inlineStr">
        <is>
          <t>ポータブルスピーカー</t>
        </is>
      </c>
      <c r="C29" s="9" t="n">
        <v>8000</v>
      </c>
      <c r="D29" s="9" t="n">
        <v>1</v>
      </c>
      <c r="E29" s="11" t="inlineStr">
        <is>
          <t>台</t>
        </is>
      </c>
      <c r="F29" s="10">
        <f>C29*D29</f>
        <v/>
      </c>
      <c r="G29" s="12" t="inlineStr">
        <is>
          <t>屋外・広い会場用</t>
        </is>
      </c>
    </row>
    <row r="30">
      <c r="A30" s="7" t="inlineStr">
        <is>
          <t>機材</t>
        </is>
      </c>
      <c r="B30" s="8" t="inlineStr">
        <is>
          <t>展示用備品（クレート・備蓄品サンプル）</t>
        </is>
      </c>
      <c r="C30" s="9" t="n">
        <v>15000</v>
      </c>
      <c r="D30" s="9" t="n">
        <v>1</v>
      </c>
      <c r="E30" s="11" t="inlineStr">
        <is>
          <t>式</t>
        </is>
      </c>
      <c r="F30" s="10">
        <f>C30*D30</f>
        <v/>
      </c>
      <c r="G30" s="12" t="inlineStr">
        <is>
          <t>実物を見せる用</t>
        </is>
      </c>
    </row>
    <row r="31">
      <c r="A31" s="17" t="inlineStr">
        <is>
          <t>初期費用 小計</t>
        </is>
      </c>
      <c r="F31" s="18">
        <f>SUM(F24:F30)</f>
        <v/>
      </c>
      <c r="G31" s="19" t="inlineStr"/>
    </row>
    <row r="33" ht="22" customHeight="1">
      <c r="A33" s="5" t="inlineStr">
        <is>
          <t>４．支出の部　固定費（毎年かかる）</t>
        </is>
      </c>
    </row>
    <row r="34">
      <c r="A34" s="6" t="inlineStr">
        <is>
          <t>区分</t>
        </is>
      </c>
      <c r="B34" s="6" t="inlineStr">
        <is>
          <t>項目</t>
        </is>
      </c>
      <c r="C34" s="6" t="inlineStr">
        <is>
          <t>単価（円）</t>
        </is>
      </c>
      <c r="D34" s="6" t="inlineStr">
        <is>
          <t>数量</t>
        </is>
      </c>
      <c r="E34" s="6" t="inlineStr">
        <is>
          <t>単位</t>
        </is>
      </c>
      <c r="F34" s="6" t="inlineStr">
        <is>
          <t>金額（円）</t>
        </is>
      </c>
      <c r="G34" s="6" t="inlineStr">
        <is>
          <t>メモ</t>
        </is>
      </c>
    </row>
    <row r="35">
      <c r="A35" s="7" t="inlineStr">
        <is>
          <t>保険</t>
        </is>
      </c>
      <c r="B35" s="8" t="inlineStr">
        <is>
          <t>団体賠償責任保険料</t>
        </is>
      </c>
      <c r="C35" s="9" t="n">
        <v>15000</v>
      </c>
      <c r="D35" s="9" t="n">
        <v>1</v>
      </c>
      <c r="E35" s="11" t="inlineStr">
        <is>
          <t>年</t>
        </is>
      </c>
      <c r="F35" s="10">
        <f>C35*D35</f>
        <v/>
      </c>
      <c r="G35" s="12" t="inlineStr">
        <is>
          <t>★相見積が必要。仮置きの金額です</t>
        </is>
      </c>
    </row>
    <row r="36">
      <c r="A36" s="7" t="inlineStr">
        <is>
          <t>広報</t>
        </is>
      </c>
      <c r="B36" s="8" t="inlineStr">
        <is>
          <t>チラシ・ポスター印刷</t>
        </is>
      </c>
      <c r="C36" s="9" t="n">
        <v>12000</v>
      </c>
      <c r="D36" s="9" t="n">
        <v>1</v>
      </c>
      <c r="E36" s="11" t="inlineStr">
        <is>
          <t>年</t>
        </is>
      </c>
      <c r="F36" s="10">
        <f>C36*D36</f>
        <v/>
      </c>
      <c r="G36" s="12" t="inlineStr">
        <is>
          <t>年数回の刷り増し</t>
        </is>
      </c>
    </row>
    <row r="37">
      <c r="A37" s="7" t="inlineStr">
        <is>
          <t>通信</t>
        </is>
      </c>
      <c r="B37" s="8" t="inlineStr">
        <is>
          <t>Zoom等の有料プラン</t>
        </is>
      </c>
      <c r="C37" s="9" t="n">
        <v>2000</v>
      </c>
      <c r="D37" s="9" t="n">
        <v>12</v>
      </c>
      <c r="E37" s="11" t="inlineStr">
        <is>
          <t>月</t>
        </is>
      </c>
      <c r="F37" s="10">
        <f>C37*D37</f>
        <v/>
      </c>
      <c r="G37" s="12" t="inlineStr">
        <is>
          <t>オンライン開催をする場合</t>
        </is>
      </c>
    </row>
    <row r="38">
      <c r="A38" s="7" t="inlineStr">
        <is>
          <t>事務</t>
        </is>
      </c>
      <c r="B38" s="8" t="inlineStr">
        <is>
          <t>郵送・事務用品</t>
        </is>
      </c>
      <c r="C38" s="9" t="n">
        <v>6000</v>
      </c>
      <c r="D38" s="9" t="n">
        <v>1</v>
      </c>
      <c r="E38" s="11" t="inlineStr">
        <is>
          <t>年</t>
        </is>
      </c>
      <c r="F38" s="10">
        <f>C38*D38</f>
        <v/>
      </c>
      <c r="G38" s="12" t="inlineStr">
        <is>
          <t>資料送付など</t>
        </is>
      </c>
    </row>
    <row r="39">
      <c r="A39" s="17" t="inlineStr">
        <is>
          <t>固定費 小計</t>
        </is>
      </c>
      <c r="F39" s="18">
        <f>SUM(F35:F38)</f>
        <v/>
      </c>
      <c r="G39" s="19" t="inlineStr"/>
    </row>
    <row r="41" ht="22" customHeight="1">
      <c r="A41" s="5" t="inlineStr">
        <is>
          <t>５．支出の部　変動費（開催・対応するたびにかかる）</t>
        </is>
      </c>
    </row>
    <row r="42">
      <c r="A42" s="6" t="inlineStr">
        <is>
          <t>区分</t>
        </is>
      </c>
      <c r="B42" s="6" t="inlineStr">
        <is>
          <t>項目</t>
        </is>
      </c>
      <c r="C42" s="6" t="inlineStr">
        <is>
          <t>1回あたり（円）</t>
        </is>
      </c>
      <c r="D42" s="6" t="inlineStr">
        <is>
          <t>回数</t>
        </is>
      </c>
      <c r="E42" s="6" t="inlineStr">
        <is>
          <t>単位</t>
        </is>
      </c>
      <c r="F42" s="6" t="inlineStr">
        <is>
          <t>金額（円）</t>
        </is>
      </c>
      <c r="G42" s="6" t="inlineStr">
        <is>
          <t>メモ</t>
        </is>
      </c>
    </row>
    <row r="43">
      <c r="A43" s="7" t="inlineStr">
        <is>
          <t>セミナー</t>
        </is>
      </c>
      <c r="B43" s="8" t="inlineStr">
        <is>
          <t>会場使用料（1回）</t>
        </is>
      </c>
      <c r="C43" s="9" t="n">
        <v>2000</v>
      </c>
      <c r="D43" s="20" t="inlineStr"/>
      <c r="E43" s="11" t="inlineStr">
        <is>
          <t>円/回</t>
        </is>
      </c>
      <c r="F43" s="20" t="inlineStr"/>
      <c r="G43" s="12" t="inlineStr">
        <is>
          <t>公民館等。自治体で大きく異なります</t>
        </is>
      </c>
    </row>
    <row r="44">
      <c r="A44" s="7" t="inlineStr">
        <is>
          <t>セミナー</t>
        </is>
      </c>
      <c r="B44" s="8" t="inlineStr">
        <is>
          <t>資料印刷（1人100円）</t>
        </is>
      </c>
      <c r="C44" s="10">
        <f>100*D9</f>
        <v/>
      </c>
      <c r="D44" s="20" t="inlineStr"/>
      <c r="E44" s="11" t="inlineStr">
        <is>
          <t>円/回</t>
        </is>
      </c>
      <c r="F44" s="20" t="inlineStr"/>
      <c r="G44" s="12" t="inlineStr">
        <is>
          <t>参加者数に連動します</t>
        </is>
      </c>
    </row>
    <row r="45">
      <c r="A45" s="7" t="inlineStr">
        <is>
          <t>セミナー</t>
        </is>
      </c>
      <c r="B45" s="8" t="inlineStr">
        <is>
          <t>交通費（1回）</t>
        </is>
      </c>
      <c r="C45" s="9" t="n">
        <v>1000</v>
      </c>
      <c r="D45" s="20" t="inlineStr"/>
      <c r="E45" s="11" t="inlineStr">
        <is>
          <t>円/回</t>
        </is>
      </c>
      <c r="F45" s="20" t="inlineStr"/>
      <c r="G45" s="12" t="inlineStr">
        <is>
          <t>会場までの往復</t>
        </is>
      </c>
    </row>
    <row r="46">
      <c r="A46" s="7" t="inlineStr">
        <is>
          <t>セミナー</t>
        </is>
      </c>
      <c r="B46" s="8" t="inlineStr">
        <is>
          <t>消耗品（1回）</t>
        </is>
      </c>
      <c r="C46" s="9" t="n">
        <v>500</v>
      </c>
      <c r="D46" s="20" t="inlineStr"/>
      <c r="E46" s="11" t="inlineStr">
        <is>
          <t>円/回</t>
        </is>
      </c>
      <c r="F46" s="20" t="inlineStr"/>
      <c r="G46" s="12" t="inlineStr">
        <is>
          <t>文具・アンケート用紙など</t>
        </is>
      </c>
    </row>
    <row r="47">
      <c r="A47" s="7" t="inlineStr">
        <is>
          <t>セミナー</t>
        </is>
      </c>
      <c r="B47" s="21" t="inlineStr">
        <is>
          <t>1回あたり変動費 合計</t>
        </is>
      </c>
      <c r="C47" s="13">
        <f>SUM(C43:C46)</f>
        <v/>
      </c>
      <c r="D47" s="10">
        <f>D8</f>
        <v/>
      </c>
      <c r="E47" s="11" t="inlineStr">
        <is>
          <t>回</t>
        </is>
      </c>
      <c r="F47" s="13">
        <f>C47*D47</f>
        <v/>
      </c>
      <c r="G47" s="12" t="inlineStr">
        <is>
          <t>1回あたり × 開催回数</t>
        </is>
      </c>
    </row>
    <row r="48">
      <c r="A48" s="7" t="inlineStr">
        <is>
          <t>個別相談</t>
        </is>
      </c>
      <c r="B48" s="8" t="inlineStr">
        <is>
          <t>1件あたり変動費（交通費・資料）</t>
        </is>
      </c>
      <c r="C48" s="9" t="n">
        <v>600</v>
      </c>
      <c r="D48" s="10">
        <f>D11</f>
        <v/>
      </c>
      <c r="E48" s="11" t="inlineStr">
        <is>
          <t>件</t>
        </is>
      </c>
      <c r="F48" s="10">
        <f>C48*D48</f>
        <v/>
      </c>
      <c r="G48" s="12" t="inlineStr">
        <is>
          <t>訪問しない場合は0でも可</t>
        </is>
      </c>
    </row>
    <row r="49">
      <c r="A49" s="7" t="inlineStr">
        <is>
          <t>講師派遣</t>
        </is>
      </c>
      <c r="B49" s="8" t="inlineStr">
        <is>
          <t>1回あたり変動費（交通費・資料）</t>
        </is>
      </c>
      <c r="C49" s="9" t="n">
        <v>3500</v>
      </c>
      <c r="D49" s="10">
        <f>D13</f>
        <v/>
      </c>
      <c r="E49" s="11" t="inlineStr">
        <is>
          <t>回</t>
        </is>
      </c>
      <c r="F49" s="10">
        <f>C49*D49</f>
        <v/>
      </c>
      <c r="G49" s="12" t="inlineStr">
        <is>
          <t>遠方の場合は増額してください</t>
        </is>
      </c>
    </row>
    <row r="50">
      <c r="A50" s="17" t="inlineStr">
        <is>
          <t>変動費 小計</t>
        </is>
      </c>
      <c r="F50" s="18">
        <f>F47+F48+F49</f>
        <v/>
      </c>
      <c r="G50" s="19" t="inlineStr"/>
    </row>
    <row r="52" ht="22" customHeight="1">
      <c r="A52" s="5" t="inlineStr">
        <is>
          <t>６．収支のまとめ</t>
        </is>
      </c>
    </row>
    <row r="53">
      <c r="A53" s="6" t="inlineStr"/>
      <c r="B53" s="6" t="inlineStr">
        <is>
          <t>項目</t>
        </is>
      </c>
      <c r="C53" s="6" t="inlineStr"/>
      <c r="D53" s="6" t="inlineStr"/>
      <c r="E53" s="6" t="inlineStr"/>
      <c r="F53" s="6" t="inlineStr">
        <is>
          <t>金額（円）</t>
        </is>
      </c>
      <c r="G53" s="6" t="inlineStr">
        <is>
          <t>内容</t>
        </is>
      </c>
    </row>
    <row r="54">
      <c r="A54" s="8" t="inlineStr"/>
      <c r="B54" s="21" t="inlineStr">
        <is>
          <t>収入合計</t>
        </is>
      </c>
      <c r="C54" s="22" t="n"/>
      <c r="D54" s="22" t="n"/>
      <c r="E54" s="22" t="n"/>
      <c r="F54" s="13">
        <f>F20</f>
        <v/>
      </c>
      <c r="G54" s="12" t="inlineStr">
        <is>
          <t>セミナー＋個別相談＋講師派遣</t>
        </is>
      </c>
    </row>
    <row r="55">
      <c r="A55" s="8" t="inlineStr"/>
      <c r="B55" s="21" t="inlineStr">
        <is>
          <t>支出合計（初年度）</t>
        </is>
      </c>
      <c r="C55" s="22" t="n"/>
      <c r="D55" s="22" t="n"/>
      <c r="E55" s="22" t="n"/>
      <c r="F55" s="13">
        <f>F31+F39+F50</f>
        <v/>
      </c>
      <c r="G55" s="12" t="inlineStr">
        <is>
          <t>初期費用＋固定費＋変動費</t>
        </is>
      </c>
    </row>
    <row r="56">
      <c r="A56" s="19" t="inlineStr"/>
      <c r="B56" s="23" t="inlineStr">
        <is>
          <t>初年度の収支</t>
        </is>
      </c>
      <c r="C56" s="24" t="n"/>
      <c r="D56" s="24" t="n"/>
      <c r="E56" s="24" t="n"/>
      <c r="F56" s="25">
        <f>F54-F55</f>
        <v/>
      </c>
      <c r="G56" s="12" t="inlineStr">
        <is>
          <t>装備をそろえる年</t>
        </is>
      </c>
    </row>
    <row r="57">
      <c r="A57" s="8" t="inlineStr"/>
      <c r="B57" s="21" t="inlineStr">
        <is>
          <t>支出合計（2年目以降）</t>
        </is>
      </c>
      <c r="C57" s="22" t="n"/>
      <c r="D57" s="22" t="n"/>
      <c r="E57" s="22" t="n"/>
      <c r="F57" s="13">
        <f>F39+F50</f>
        <v/>
      </c>
      <c r="G57" s="12" t="inlineStr">
        <is>
          <t>固定費＋変動費</t>
        </is>
      </c>
    </row>
    <row r="58">
      <c r="A58" s="19" t="inlineStr"/>
      <c r="B58" s="23" t="inlineStr">
        <is>
          <t>2年目以降の収支</t>
        </is>
      </c>
      <c r="C58" s="24" t="n"/>
      <c r="D58" s="24" t="n"/>
      <c r="E58" s="24" t="n"/>
      <c r="F58" s="25">
        <f>F54-F57</f>
        <v/>
      </c>
      <c r="G58" s="12" t="inlineStr">
        <is>
          <t>初期費用がなくなります</t>
        </is>
      </c>
    </row>
    <row r="60" ht="22" customHeight="1">
      <c r="A60" s="5" t="inlineStr">
        <is>
          <t>７．損益分岐点（何回開催すれば赤字にならないか）</t>
        </is>
      </c>
    </row>
    <row r="61">
      <c r="A61" s="6" t="inlineStr"/>
      <c r="B61" s="6" t="inlineStr">
        <is>
          <t>項目</t>
        </is>
      </c>
      <c r="C61" s="6" t="inlineStr"/>
      <c r="D61" s="6" t="inlineStr"/>
      <c r="E61" s="6" t="inlineStr"/>
      <c r="F61" s="6" t="inlineStr">
        <is>
          <t>数値</t>
        </is>
      </c>
      <c r="G61" s="6" t="inlineStr">
        <is>
          <t>計算の考え方</t>
        </is>
      </c>
    </row>
    <row r="62">
      <c r="B62" s="8" t="inlineStr">
        <is>
          <t>セミナー1回あたりの粗利</t>
        </is>
      </c>
      <c r="C62" s="26" t="n"/>
      <c r="D62" s="26" t="n"/>
      <c r="E62" s="27" t="n"/>
      <c r="F62" s="13">
        <f>C7*D9-C47</f>
        <v/>
      </c>
      <c r="G62" s="12" t="inlineStr">
        <is>
          <t>参加費×参加者数 − 1回あたり変動費</t>
        </is>
      </c>
    </row>
    <row r="63">
      <c r="B63" s="8" t="inlineStr">
        <is>
          <t>固定費を回収するのに必要な開催回数</t>
        </is>
      </c>
      <c r="F63" s="13">
        <f>IF(F62&lt;=0,"—",ROUNDUP(F39/F62,0))</f>
        <v/>
      </c>
      <c r="G63" s="12" t="inlineStr">
        <is>
          <t>固定費 ÷ 1回あたりの粗利</t>
        </is>
      </c>
    </row>
    <row r="64">
      <c r="B64" s="8" t="inlineStr">
        <is>
          <t>初年度に初期費用まで回収する開催回数</t>
        </is>
      </c>
      <c r="F64" s="13">
        <f>IF(F62&lt;=0,"—",ROUNDUP((F39+F31)/F62,0))</f>
        <v/>
      </c>
      <c r="G64" s="12" t="inlineStr">
        <is>
          <t>（固定費＋初期費用）÷ 1回あたりの粗利</t>
        </is>
      </c>
    </row>
    <row r="66">
      <c r="A66" s="28" t="inlineStr">
        <is>
          <t>※ 金額はすべて仮置きです。実際の会場費・保険料・参加費に置き換えてお使いください。詳しい注意点は「前提と注意」シートをご覧ください。</t>
        </is>
      </c>
    </row>
  </sheetData>
  <mergeCells count="23">
    <mergeCell ref="A39:E39"/>
    <mergeCell ref="A22:G22"/>
    <mergeCell ref="B64:E64"/>
    <mergeCell ref="B55:E55"/>
    <mergeCell ref="A52:G52"/>
    <mergeCell ref="B63:E63"/>
    <mergeCell ref="B54:E54"/>
    <mergeCell ref="B62:E62"/>
    <mergeCell ref="A15:G15"/>
    <mergeCell ref="A60:G60"/>
    <mergeCell ref="A50:E50"/>
    <mergeCell ref="B56:E56"/>
    <mergeCell ref="A1:G1"/>
    <mergeCell ref="B58:E58"/>
    <mergeCell ref="A41:G41"/>
    <mergeCell ref="D3:E3"/>
    <mergeCell ref="A66:G66"/>
    <mergeCell ref="B57:E57"/>
    <mergeCell ref="A20:E20"/>
    <mergeCell ref="A2:G2"/>
    <mergeCell ref="A31:E31"/>
    <mergeCell ref="A33:G33"/>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26" customWidth="1" min="1" max="1"/>
    <col width="16" customWidth="1" min="2" max="2"/>
    <col width="16" customWidth="1" min="3" max="3"/>
    <col width="16" customWidth="1" min="4" max="4"/>
    <col width="34" customWidth="1" min="5" max="5"/>
  </cols>
  <sheetData>
    <row r="1" ht="28" customHeight="1">
      <c r="A1" s="29" t="inlineStr">
        <is>
          <t>活動ペース別の年間収支シミュレーション</t>
        </is>
      </c>
    </row>
    <row r="2">
      <c r="A2" s="2" t="inlineStr">
        <is>
          <t>「標準」は収支計画書シートと同じ前提です。黄色のセルは入力できます。</t>
        </is>
      </c>
    </row>
    <row r="4">
      <c r="A4" s="6" t="inlineStr">
        <is>
          <t>項目</t>
        </is>
      </c>
      <c r="B4" s="6" t="inlineStr">
        <is>
          <t>控えめ</t>
        </is>
      </c>
      <c r="C4" s="6" t="inlineStr">
        <is>
          <t>標準</t>
        </is>
      </c>
      <c r="D4" s="6" t="inlineStr">
        <is>
          <t>積極的</t>
        </is>
      </c>
      <c r="E4" s="6" t="inlineStr">
        <is>
          <t>メモ</t>
        </is>
      </c>
    </row>
    <row r="5">
      <c r="A5" s="8" t="inlineStr">
        <is>
          <t>セミナー 年間開催回数</t>
        </is>
      </c>
      <c r="B5" s="9" t="n">
        <v>6</v>
      </c>
      <c r="C5" s="9" t="n">
        <v>12</v>
      </c>
      <c r="D5" s="9" t="n">
        <v>24</v>
      </c>
      <c r="E5" s="12" t="inlineStr">
        <is>
          <t>回</t>
        </is>
      </c>
    </row>
    <row r="6">
      <c r="A6" s="8" t="inlineStr">
        <is>
          <t>セミナー 1回の参加者数</t>
        </is>
      </c>
      <c r="B6" s="9" t="n">
        <v>8</v>
      </c>
      <c r="C6" s="9" t="n">
        <v>10</v>
      </c>
      <c r="D6" s="9" t="n">
        <v>12</v>
      </c>
      <c r="E6" s="12" t="inlineStr">
        <is>
          <t>人</t>
        </is>
      </c>
    </row>
    <row r="7">
      <c r="A7" s="8" t="inlineStr">
        <is>
          <t>セミナー 参加費</t>
        </is>
      </c>
      <c r="B7" s="9" t="n">
        <v>1500</v>
      </c>
      <c r="C7" s="9" t="n">
        <v>2000</v>
      </c>
      <c r="D7" s="9" t="n">
        <v>2500</v>
      </c>
      <c r="E7" s="12" t="inlineStr">
        <is>
          <t>円/人</t>
        </is>
      </c>
    </row>
    <row r="8">
      <c r="A8" s="8" t="inlineStr">
        <is>
          <t>個別相談 年間件数</t>
        </is>
      </c>
      <c r="B8" s="9" t="n">
        <v>12</v>
      </c>
      <c r="C8" s="9" t="n">
        <v>24</v>
      </c>
      <c r="D8" s="9" t="n">
        <v>48</v>
      </c>
      <c r="E8" s="12" t="inlineStr">
        <is>
          <t>件</t>
        </is>
      </c>
    </row>
    <row r="9">
      <c r="A9" s="8" t="inlineStr">
        <is>
          <t>個別相談 相談料</t>
        </is>
      </c>
      <c r="B9" s="9" t="n">
        <v>3000</v>
      </c>
      <c r="C9" s="9" t="n">
        <v>5000</v>
      </c>
      <c r="D9" s="9" t="n">
        <v>5000</v>
      </c>
      <c r="E9" s="12" t="inlineStr">
        <is>
          <t>円/件</t>
        </is>
      </c>
    </row>
    <row r="10">
      <c r="A10" s="8" t="inlineStr">
        <is>
          <t>講師派遣 年間回数</t>
        </is>
      </c>
      <c r="B10" s="9" t="n">
        <v>0</v>
      </c>
      <c r="C10" s="9" t="n">
        <v>4</v>
      </c>
      <c r="D10" s="9" t="n">
        <v>8</v>
      </c>
      <c r="E10" s="12" t="inlineStr">
        <is>
          <t>回</t>
        </is>
      </c>
    </row>
    <row r="11">
      <c r="A11" s="8" t="inlineStr">
        <is>
          <t>講師派遣 謝金</t>
        </is>
      </c>
      <c r="B11" s="9" t="n">
        <v>30000</v>
      </c>
      <c r="C11" s="9" t="n">
        <v>30000</v>
      </c>
      <c r="D11" s="9" t="n">
        <v>30000</v>
      </c>
      <c r="E11" s="12" t="inlineStr">
        <is>
          <t>円/回</t>
        </is>
      </c>
    </row>
    <row r="13">
      <c r="A13" s="6" t="inlineStr"/>
      <c r="B13" s="6" t="inlineStr">
        <is>
          <t>控えめ</t>
        </is>
      </c>
      <c r="C13" s="6" t="inlineStr">
        <is>
          <t>標準</t>
        </is>
      </c>
      <c r="D13" s="6" t="inlineStr">
        <is>
          <t>積極的</t>
        </is>
      </c>
      <c r="E13" s="6" t="inlineStr"/>
    </row>
    <row r="14">
      <c r="A14" s="21" t="inlineStr">
        <is>
          <t>年間収入</t>
        </is>
      </c>
      <c r="B14" s="13">
        <f>B5*B6*B7+B8*B9+B10*B11</f>
        <v/>
      </c>
      <c r="C14" s="13">
        <f>C5*C6*C7+C8*C9+C10*C11</f>
        <v/>
      </c>
      <c r="D14" s="13">
        <f>D5*D6*D7+D8*D9+D10*D11</f>
        <v/>
      </c>
      <c r="E14" s="12" t="inlineStr">
        <is>
          <t>参加費＋相談料＋謝金</t>
        </is>
      </c>
    </row>
    <row r="15">
      <c r="A15" s="21" t="inlineStr">
        <is>
          <t>年間支出（2年目以降）</t>
        </is>
      </c>
      <c r="B15" s="10">
        <f>収支計画書!F39+(B5*4500)+(B8*600)+(B10*3500)</f>
        <v/>
      </c>
      <c r="C15" s="10">
        <f>収支計画書!F39+(C5*4500)+(C8*600)+(C10*3500)</f>
        <v/>
      </c>
      <c r="D15" s="10">
        <f>収支計画書!F39+(D5*4500)+(D8*600)+(D10*3500)</f>
        <v/>
      </c>
      <c r="E15" s="12" t="inlineStr">
        <is>
          <t>固定費＋変動費（1回4,500円で概算）</t>
        </is>
      </c>
    </row>
    <row r="16">
      <c r="A16" s="23" t="inlineStr">
        <is>
          <t>年間収支</t>
        </is>
      </c>
      <c r="B16" s="25">
        <f>B14-B15</f>
        <v/>
      </c>
      <c r="C16" s="25">
        <f>C14-C15</f>
        <v/>
      </c>
      <c r="D16" s="25">
        <f>D14-D15</f>
        <v/>
      </c>
      <c r="E16" s="30" t="inlineStr"/>
    </row>
    <row r="18">
      <c r="A18" s="28" t="inlineStr">
        <is>
          <t>※ 変動費は概算です。正確に見るときは「収支計画書」シートで1回あたりの内訳を入れてください。</t>
        </is>
      </c>
    </row>
  </sheetData>
  <mergeCells count="3">
    <mergeCell ref="A2:E2"/>
    <mergeCell ref="A1:E1"/>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 customWidth="1" min="1" max="1"/>
    <col width="30" customWidth="1" min="2" max="2"/>
    <col width="78" customWidth="1" min="3" max="3"/>
  </cols>
  <sheetData>
    <row r="1" ht="28" customHeight="1">
      <c r="A1" s="29" t="inlineStr">
        <is>
          <t>この計画書を使う前に確認すること</t>
        </is>
      </c>
    </row>
    <row r="3" ht="46" customHeight="1">
      <c r="A3" s="31" t="n">
        <v>1</v>
      </c>
      <c r="B3" s="32" t="inlineStr">
        <is>
          <t>金額の扱い</t>
        </is>
      </c>
      <c r="C3" s="33" t="inlineStr">
        <is>
          <t>本シートの金額はすべて仮置きです。ご自身の地域・活動内容の実額に置き換えてください。</t>
        </is>
      </c>
    </row>
    <row r="4" ht="46" customHeight="1">
      <c r="A4" s="31" t="n">
        <v>2</v>
      </c>
      <c r="B4" s="32" t="inlineStr">
        <is>
          <t>会場使用料</t>
        </is>
      </c>
      <c r="C4" s="33" t="inlineStr">
        <is>
          <t>自治体の公民館・地区センターは無料〜数千円と幅があります。減免制度がある自治体も多いので、事前に窓口へご確認ください。民間施設を借りる場合は大きく変わります。</t>
        </is>
      </c>
    </row>
    <row r="5" ht="46" customHeight="1">
      <c r="A5" s="31" t="n">
        <v>3</v>
      </c>
      <c r="B5" s="32" t="inlineStr">
        <is>
          <t>賠償責任保険料</t>
        </is>
      </c>
      <c r="C5" s="33" t="inlineStr">
        <is>
          <t>★未確定です。損害保険会社への相見積が必要です。協会の条件シート（pdpa_insurance_rfq.html）をご利用ください。保険料は認定者負担で、協会は手数料を上乗せしません。</t>
        </is>
      </c>
    </row>
    <row r="6" ht="46" customHeight="1">
      <c r="A6" s="31" t="n">
        <v>4</v>
      </c>
      <c r="B6" s="32" t="inlineStr">
        <is>
          <t>参加費の設定</t>
        </is>
      </c>
      <c r="C6" s="33" t="inlineStr">
        <is>
          <t>地域の相場と、自治体主催（無料開催が多い）か自主開催かで大きく変わります。自治体からの依頼は参加費ではなく謝金という形になるのが一般的です。</t>
        </is>
      </c>
    </row>
    <row r="7" ht="46" customHeight="1">
      <c r="A7" s="31" t="n">
        <v>5</v>
      </c>
      <c r="B7" s="32" t="inlineStr">
        <is>
          <t>消費税</t>
        </is>
      </c>
      <c r="C7" s="33" t="inlineStr">
        <is>
          <t>課税売上高が1,000万円以下であれば免税事業者となるのが原則です。取引先からインボイス（適格請求書）を求められる場合は登録の検討が必要です。</t>
        </is>
      </c>
    </row>
    <row r="8" ht="46" customHeight="1">
      <c r="A8" s="31" t="n">
        <v>6</v>
      </c>
      <c r="B8" s="32" t="inlineStr">
        <is>
          <t>所得税・確定申告</t>
        </is>
      </c>
      <c r="C8" s="33" t="inlineStr">
        <is>
          <t>給与を1か所から受けていて源泉徴収されている方は、給与所得・退職所得以外の所得の合計額が20万円を超えると確定申告が必要です（国税庁 タックスアンサー No.1900）。開業届や青色申告の要否を含め、最寄りの税務署または税理士にご確認ください。</t>
        </is>
      </c>
    </row>
    <row r="9" ht="46" customHeight="1">
      <c r="A9" s="31" t="n">
        <v>7</v>
      </c>
      <c r="B9" s="32" t="inlineStr">
        <is>
          <t>活動範囲</t>
        </is>
      </c>
      <c r="C9" s="33" t="inlineStr">
        <is>
          <t>認定者の活動は防災啓発・教育・情報提供が中心です。獣医療行為、避難所運営の意思決定、行政の公式判断は行いません。判断に迷う相談は獣医師や自治体窓口へお繋ぎください。</t>
        </is>
      </c>
    </row>
    <row r="10" ht="46" customHeight="1">
      <c r="A10" s="31" t="n">
        <v>8</v>
      </c>
      <c r="B10" s="32" t="inlineStr">
        <is>
          <t>協会からの支援</t>
        </is>
      </c>
      <c r="C10" s="33" t="inlineStr">
        <is>
          <t>セミナー開催キット、協会名義の公式文書、認定者マップからの紹介、共同開催マッチングを利用すると、広報費や準備の負担を下げられます。</t>
        </is>
      </c>
    </row>
    <row r="12">
      <c r="A12" s="2" t="inlineStr">
        <is>
          <t>© 一般社団法人 ペット防災アドバイザー協会　教材コード PDPA-100S 関連資料　Ver.1.0</t>
        </is>
      </c>
    </row>
  </sheetData>
  <mergeCells count="2">
    <mergeCell ref="A1:C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2026-09-06T06:09:15Z</dcterms:created>
  <dcterms:modified xmlns:dcterms="http://purl.org/dc/terms/" xmlns:xsi="http://www.w3.org/2001/XMLSchema-instance" xsi:type="dcterms:W3CDTF">2026-09-06T06:09:16Z</dcterms:modified>
</cp:coreProperties>
</file>